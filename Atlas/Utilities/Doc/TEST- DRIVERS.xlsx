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RIBOUT\Downloads\"/>
    </mc:Choice>
  </mc:AlternateContent>
  <xr:revisionPtr revIDLastSave="0" documentId="13_ncr:1_{2CFEB7AA-AA2B-42E8-87D1-4EA4CF280605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Questionnaire" sheetId="1" r:id="rId1"/>
    <sheet name="Résultats" sheetId="3" state="hidden" r:id="rId2"/>
    <sheet name="Tableau" sheetId="2" state="hidden" r:id="rId3"/>
    <sheet name="Histogramme" sheetId="5" r:id="rId4"/>
  </sheets>
  <externalReferences>
    <externalReference r:id="rId5"/>
  </externalReferences>
  <definedNames>
    <definedName name="Client">[1]Base!$A$3:$A$11</definedName>
    <definedName name="_xlnm.Print_Area" localSheetId="3">Histogramme!$A$2:$F$24</definedName>
    <definedName name="_xlnm.Print_Area" localSheetId="0">Questionnaire!$B:$F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E5" i="5"/>
  <c r="E4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E4" i="2"/>
  <c r="I4" i="2"/>
  <c r="I5" i="2"/>
  <c r="I6" i="2"/>
  <c r="I7" i="2"/>
  <c r="I8" i="2"/>
  <c r="I9" i="2"/>
  <c r="I10" i="2"/>
  <c r="I11" i="2"/>
  <c r="I12" i="2"/>
  <c r="H4" i="2"/>
  <c r="H5" i="2"/>
  <c r="H6" i="2"/>
  <c r="H7" i="2"/>
  <c r="H8" i="2"/>
  <c r="H9" i="2"/>
  <c r="H10" i="2"/>
  <c r="H11" i="2"/>
  <c r="H12" i="2"/>
  <c r="G4" i="2"/>
  <c r="G5" i="2"/>
  <c r="G6" i="2"/>
  <c r="G7" i="2"/>
  <c r="G8" i="2"/>
  <c r="G9" i="2"/>
  <c r="G10" i="2"/>
  <c r="G11" i="2"/>
  <c r="G12" i="2"/>
  <c r="F4" i="2"/>
  <c r="F5" i="2"/>
  <c r="F6" i="2"/>
  <c r="F7" i="2"/>
  <c r="F8" i="2"/>
  <c r="F9" i="2"/>
  <c r="F10" i="2"/>
  <c r="F11" i="2"/>
  <c r="F12" i="2"/>
  <c r="C9" i="3" a="1"/>
  <c r="C9" i="3"/>
  <c r="C10" i="3" a="1"/>
  <c r="C10" i="3"/>
  <c r="C11" i="3" a="1"/>
  <c r="C11" i="3"/>
  <c r="C12" i="3" a="1"/>
  <c r="C12" i="3"/>
  <c r="C13" i="3" a="1"/>
  <c r="C13" i="3"/>
</calcChain>
</file>

<file path=xl/sharedStrings.xml><?xml version="1.0" encoding="utf-8"?>
<sst xmlns="http://schemas.openxmlformats.org/spreadsheetml/2006/main" count="78" uniqueCount="71">
  <si>
    <t>J'ai du mal à faire confiance et à m'abandonner</t>
  </si>
  <si>
    <t>J'aime aider les autres</t>
  </si>
  <si>
    <t>Je tapote souvent avec mes doigts ou mes pieds</t>
  </si>
  <si>
    <t>Je crée des situations confuses où je me sens stupide et impuissant</t>
  </si>
  <si>
    <t>La manière dont les autres me jugent sur ce que je fais m'importe beaucoup</t>
  </si>
  <si>
    <t>Je suis convaincu que je suis le meilleur</t>
  </si>
  <si>
    <t>Je ne sais pas dire non</t>
  </si>
  <si>
    <t>Que d'efforts pour répondre à toutes ces questions !</t>
  </si>
  <si>
    <t>Je me sens en sécurité si je ne m'implique pas émotionnellement</t>
  </si>
  <si>
    <t>Tant qu'une tâche n'est pas réalisée comme je l'imaginais, je recommence</t>
  </si>
  <si>
    <t>J'aime jouer le rôle de confident</t>
  </si>
  <si>
    <t>Je ne peux rester inactif et au besoin, je fais plusieurs choses en même temps</t>
  </si>
  <si>
    <t>Ma mère me disait souvent "Avec un peu plus d'efforts tu …"</t>
  </si>
  <si>
    <t>Dans una tâche à plusieurs, je n'aime pas que l'on ne respecte pas le timing, 
l'objectif et que l'on fasse des digressions</t>
  </si>
  <si>
    <t>J'attends de mes collaborateurs qu'ils fassent exactement ce que je leur dis</t>
  </si>
  <si>
    <t>Sois Fort</t>
  </si>
  <si>
    <t>Fais plaisir</t>
  </si>
  <si>
    <t>Fais vite</t>
  </si>
  <si>
    <t>Sois parfait</t>
  </si>
  <si>
    <t>Fais des efforts</t>
  </si>
  <si>
    <t>Questions</t>
  </si>
  <si>
    <t>Réponses</t>
  </si>
  <si>
    <t>Drivers</t>
  </si>
  <si>
    <t>Résultats</t>
  </si>
  <si>
    <t>J'ai toujours l'impression de me battre contre la montre</t>
  </si>
  <si>
    <t xml:space="preserve">Ce n'est pas moi </t>
  </si>
  <si>
    <t>C'est peut-être moi</t>
  </si>
  <si>
    <t>C'est quelques fois moi</t>
  </si>
  <si>
    <t>C'est souvent moi</t>
  </si>
  <si>
    <t>C'est tout à fait moi</t>
  </si>
  <si>
    <t xml:space="preserve"> </t>
  </si>
  <si>
    <t>Je pense que l'effort est plus important que le résultat</t>
  </si>
  <si>
    <t>Je pense que dans la vie je dois me débrouiller tout seul</t>
  </si>
  <si>
    <t>Pour commencer une tâche, il me faut toutes les informations</t>
  </si>
  <si>
    <t>Il est important que les autres soient bien disposés à mon égard</t>
  </si>
  <si>
    <t>Le stress me dope</t>
  </si>
  <si>
    <t>J'ai toujours peur de ne pas être à la hauteur</t>
  </si>
  <si>
    <t>Je suis très exigeant envers moi-même et les autres</t>
  </si>
  <si>
    <t>Pour être satisfait, je dois exceller</t>
  </si>
  <si>
    <t>Pour être aimé, je rends service plus que la moyenne</t>
  </si>
  <si>
    <t>Je n'exprime pas mes émotions</t>
  </si>
  <si>
    <t>Pour être efficace, ma tâche doit être parfaite</t>
  </si>
  <si>
    <t>Pour mon patron, je suis disponible, même chez moi</t>
  </si>
  <si>
    <t>Je parle vite</t>
  </si>
  <si>
    <t>J'ai un sentiment d'oppression et la peur d'exploser si je me laisse aller</t>
  </si>
  <si>
    <t>J'aime accomplir de nobles tâches</t>
  </si>
  <si>
    <t>Les faits, les chiffres, la logique, voilà les vraies valeurs</t>
  </si>
  <si>
    <t>Il faut dire aux gens ce qu'ils ont envie d'entendre</t>
  </si>
  <si>
    <t>J'ai envie d'interrompre les gens pour finir leurs phrases à leur place</t>
  </si>
  <si>
    <t>L'échange intellectuel est le domaine où je suis à l'aise</t>
  </si>
  <si>
    <t>L'exactitude à tout prix, voilà le prix de mon image</t>
  </si>
  <si>
    <t>J'aime savoir qu'un collègue a besoin de moi</t>
  </si>
  <si>
    <t>Je dis souvent "Pressons … oui … oui …. Et alors ?"</t>
  </si>
  <si>
    <t>Les autres disent de moi que je me plains souvent</t>
  </si>
  <si>
    <t>J'aime ce qui fait appel à la logique</t>
  </si>
  <si>
    <t>Je dois donner l'impression que je sais tout</t>
  </si>
  <si>
    <t>J'ai coutume de faire les cents pas lorsque je suis en attente de quelque chose</t>
  </si>
  <si>
    <t>Les gens viennent vers moi sans que je le leur demande, car on me trouve gentil</t>
  </si>
  <si>
    <t>CRTL-MAJ-Entrée pour les accolades</t>
  </si>
  <si>
    <t xml:space="preserve">Votre nom : </t>
  </si>
  <si>
    <t>Je vais trop vite, ce qui me fait faire des fautes d'inattention</t>
  </si>
  <si>
    <t>Pour moi, une objection est le signe de mon incompétence</t>
  </si>
  <si>
    <t>Il faut savoir se couper en quatre</t>
  </si>
  <si>
    <t>J'ai le sentiment depuis longtemps d'être responsable de ce qui arrive aux autres</t>
  </si>
  <si>
    <t>Répondez aux 50 questions et imprimez l'onglet Histogramme</t>
  </si>
  <si>
    <t xml:space="preserve">Ce n'est pas moi  &gt; 0  
C'est peut-être moi  &gt; 1  
C'est quelques fois moi  &gt; 2  
C'est souvent moi  &gt; 3  
C'est tout à fait moi  &gt; 4  </t>
  </si>
  <si>
    <t>x</t>
  </si>
  <si>
    <t xml:space="preserve"> Test des drivers</t>
  </si>
  <si>
    <t>En répondant à ces questiions, je me demande si les réponses correspondent
bien à ce qu'on attend de moi</t>
  </si>
  <si>
    <t>Je ne peux déléguer car les autres sont trop lents</t>
  </si>
  <si>
    <t>Je dois dépenser beaucoup d'énergie pour faire les choses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</si>
</sst>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sz val="8"/>
      <name val="Verdana"/>
    </font>
    <font>
      <sz val="10"/>
      <color indexed="8"/>
      <name val="Arial"/>
    </font>
    <font>
      <sz val="8"/>
      <name val="Calibri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scheme val="minor"/>
    </font>
    <font>
      <b/>
      <sz val="18"/>
      <color theme="0"/>
      <name val="Calibri"/>
      <scheme val="minor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3" borderId="16" xfId="0" applyFont="1" applyFill="1" applyBorder="1" applyAlignment="1">
      <alignment horizontal="right" vertical="center" wrapText="1"/>
    </xf>
    <xf numFmtId="0" fontId="10" fillId="3" borderId="17" xfId="0" applyFont="1" applyFill="1" applyBorder="1" applyAlignment="1">
      <alignment horizontal="right" vertical="center" wrapText="1"/>
    </xf>
    <xf numFmtId="0" fontId="10" fillId="3" borderId="18" xfId="0" applyFont="1" applyFill="1" applyBorder="1" applyAlignment="1">
      <alignment horizontal="right" vertical="center" wrapText="1"/>
    </xf>
    <xf numFmtId="0" fontId="0" fillId="3" borderId="6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800" b="1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Histogramme des Drivers</a:t>
            </a:r>
          </a:p>
        </c:rich>
      </c:tx>
      <c:layout>
        <c:manualLayout>
          <c:xMode val="edge"/>
          <c:yMode val="edge"/>
          <c:x val="0.4091502684650708"/>
          <c:y val="3.7037037037037035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800" b="1" i="0" u="none" strike="noStrike" kern="120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 cap="flat" cmpd="sng" algn="ctr">
          <a:solidFill>
            <a:srgbClr val="808080"/>
          </a:solidFill>
          <a:prstDash val="solid"/>
          <a:round/>
        </a:ln>
        <a:effectLst/>
        <a:sp3d contourW="3175">
          <a:contourClr>
            <a:srgbClr val="808080"/>
          </a:contourClr>
        </a:sp3d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590332458442692E-2"/>
          <c:y val="0.21111111111111111"/>
          <c:w val="0.89052077865266843"/>
          <c:h val="0.615987897346165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Résultats!$C$8</c:f>
              <c:strCache>
                <c:ptCount val="1"/>
                <c:pt idx="0">
                  <c:v>Résultats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100000"/>
                    <a:shade val="100000"/>
                    <a:satMod val="130000"/>
                  </a:schemeClr>
                </a:gs>
                <a:gs pos="100000">
                  <a:schemeClr val="accent3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dist="35921" dir="2700000" algn="br">
                <a:srgbClr val="000000"/>
              </a:outerShdw>
            </a:effectLst>
            <a:sp3d/>
          </c:spPr>
          <c:invertIfNegative val="0"/>
          <c:cat>
            <c:strRef>
              <c:f>Résultats!$B$9:$B$13</c:f>
              <c:strCache>
                <c:ptCount val="5"/>
                <c:pt idx="0">
                  <c:v>Fais plaisir</c:v>
                </c:pt>
                <c:pt idx="1">
                  <c:v>Fais des efforts</c:v>
                </c:pt>
                <c:pt idx="2">
                  <c:v>Fais vite</c:v>
                </c:pt>
                <c:pt idx="3">
                  <c:v>Sois parfait</c:v>
                </c:pt>
                <c:pt idx="4">
                  <c:v>Sois Fort</c:v>
                </c:pt>
              </c:strCache>
            </c:strRef>
          </c:cat>
          <c:val>
            <c:numRef>
              <c:f>Résultats!$C$9:$C$13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0-EB46-9680-9B34D10A0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71552128"/>
        <c:axId val="1"/>
        <c:axId val="0"/>
      </c:bar3DChart>
      <c:catAx>
        <c:axId val="207155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80808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80808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20715521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808080"/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1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12700</xdr:rowOff>
    </xdr:from>
    <xdr:to>
      <xdr:col>2</xdr:col>
      <xdr:colOff>12700</xdr:colOff>
      <xdr:row>2</xdr:row>
      <xdr:rowOff>180823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98CB795-55D3-1344-8BEC-10AD224F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7500" y="203200"/>
          <a:ext cx="495300" cy="3586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8</xdr:row>
      <xdr:rowOff>25400</xdr:rowOff>
    </xdr:from>
    <xdr:to>
      <xdr:col>5</xdr:col>
      <xdr:colOff>736600</xdr:colOff>
      <xdr:row>22</xdr:row>
      <xdr:rowOff>114300</xdr:rowOff>
    </xdr:to>
    <xdr:graphicFrame macro="">
      <xdr:nvGraphicFramePr>
        <xdr:cNvPr id="5135" name="Graphique 1">
          <a:extLst>
            <a:ext uri="{FF2B5EF4-FFF2-40B4-BE49-F238E27FC236}">
              <a16:creationId xmlns:a16="http://schemas.microsoft.com/office/drawing/2014/main" id="{13B70EF7-44A1-E64F-9021-E77D3850B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arc/Dropbox/Documents/Business/Comptabilit&#233;/Factures/OUT/R&#233;sum&#233;%20Factures%20O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Base"/>
    </sheetNames>
    <sheetDataSet>
      <sheetData sheetId="0" refreshError="1"/>
      <sheetData sheetId="1">
        <row r="3">
          <cell r="A3" t="str">
            <v>Hoffman UK</v>
          </cell>
        </row>
        <row r="4">
          <cell r="A4" t="str">
            <v>ARC France</v>
          </cell>
        </row>
        <row r="5">
          <cell r="A5" t="str">
            <v>Client 3</v>
          </cell>
        </row>
        <row r="6">
          <cell r="A6" t="str">
            <v>Client 4</v>
          </cell>
        </row>
        <row r="7">
          <cell r="A7" t="str">
            <v>Client 5</v>
          </cell>
        </row>
        <row r="8">
          <cell r="A8" t="str">
            <v>Client 6</v>
          </cell>
        </row>
        <row r="9">
          <cell r="A9" t="str">
            <v>Client 7</v>
          </cell>
        </row>
        <row r="10">
          <cell r="A10" t="str">
            <v>Client 8</v>
          </cell>
        </row>
        <row r="11">
          <cell r="A11" t="str">
            <v>Client 9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pageSetUpPr fitToPage="1"/>
  </sheetPr>
  <dimension ref="A2:H58"/>
  <sheetViews>
    <sheetView workbookViewId="0">
      <pane ySplit="8" topLeftCell="A9" activePane="bottomLeft" state="frozen"/>
      <selection pane="bottomLeft" activeCell="B8" sqref="B8:F58"/>
    </sheetView>
  </sheetViews>
  <sheetFormatPr baseColWidth="10" defaultRowHeight="15.6" x14ac:dyDescent="0.3"/>
  <cols>
    <col min="1" max="1" width="4" style="1" customWidth="1"/>
    <col min="2" max="3" width="6.5" style="12" customWidth="1"/>
    <col min="4" max="4" width="66.296875" bestFit="1" customWidth="1"/>
    <col min="5" max="5" width="12" customWidth="1"/>
    <col min="6" max="6" width="9.19921875" style="1" bestFit="1" customWidth="1"/>
    <col min="7" max="7" width="4.796875" customWidth="1"/>
  </cols>
  <sheetData>
    <row r="2" spans="2:8" ht="15" customHeight="1" x14ac:dyDescent="0.3">
      <c r="B2" s="32" t="s">
        <v>67</v>
      </c>
      <c r="C2" s="33"/>
      <c r="D2" s="33"/>
      <c r="E2" s="33"/>
      <c r="F2" s="33"/>
      <c r="G2" s="20"/>
    </row>
    <row r="3" spans="2:8" ht="15" customHeight="1" x14ac:dyDescent="0.3">
      <c r="B3" s="32"/>
      <c r="C3" s="33"/>
      <c r="D3" s="33"/>
      <c r="E3" s="33"/>
      <c r="F3" s="33"/>
      <c r="G3" s="20"/>
    </row>
    <row r="4" spans="2:8" x14ac:dyDescent="0.3">
      <c r="B4" s="45" t="s">
        <v>59</v>
      </c>
      <c r="C4" s="46"/>
      <c r="D4" s="30" t="s">
        <v>66</v>
      </c>
      <c r="E4" s="49">
        <f ca="1">+TODAY()</f>
        <v>45359</v>
      </c>
      <c r="F4" s="50"/>
      <c r="G4" s="22"/>
    </row>
    <row r="5" spans="2:8" x14ac:dyDescent="0.3">
      <c r="B5" s="47"/>
      <c r="C5" s="48"/>
      <c r="D5" s="31"/>
      <c r="E5" s="47"/>
      <c r="F5" s="51"/>
      <c r="G5" s="22"/>
    </row>
    <row r="6" spans="2:8" x14ac:dyDescent="0.3">
      <c r="B6" s="40" t="s">
        <v>64</v>
      </c>
      <c r="C6" s="41"/>
      <c r="D6" s="41"/>
      <c r="E6" s="41"/>
      <c r="F6" s="42"/>
      <c r="G6" s="22"/>
    </row>
    <row r="7" spans="2:8" ht="73.95" customHeight="1" thickBot="1" x14ac:dyDescent="0.35">
      <c r="B7" s="27" t="s">
        <v>65</v>
      </c>
      <c r="C7" s="28"/>
      <c r="D7" s="28"/>
      <c r="E7" s="28"/>
      <c r="F7" s="29"/>
      <c r="G7" s="21"/>
    </row>
    <row r="8" spans="2:8" ht="15" customHeight="1" x14ac:dyDescent="0.3">
      <c r="B8" s="43" t="s">
        <v>20</v>
      </c>
      <c r="C8" s="44"/>
      <c r="D8" s="44"/>
      <c r="E8" s="23"/>
      <c r="F8" s="16" t="s">
        <v>21</v>
      </c>
      <c r="G8" s="11"/>
      <c r="H8" s="2"/>
    </row>
    <row r="9" spans="2:8" ht="15" customHeight="1" x14ac:dyDescent="0.3">
      <c r="B9" s="13">
        <v>1</v>
      </c>
      <c r="C9" s="24" t="s">
        <v>24</v>
      </c>
      <c r="D9" s="25"/>
      <c r="E9" s="26"/>
      <c r="F9" s="17"/>
    </row>
    <row r="10" spans="2:8" x14ac:dyDescent="0.3">
      <c r="B10" s="13">
        <f>+B9+1</f>
        <v>2</v>
      </c>
      <c r="C10" s="24" t="s">
        <v>31</v>
      </c>
      <c r="D10" s="25"/>
      <c r="E10" s="26"/>
      <c r="F10" s="17"/>
      <c r="G10" t="s">
        <v>30</v>
      </c>
    </row>
    <row r="11" spans="2:8" x14ac:dyDescent="0.3">
      <c r="B11" s="13">
        <f t="shared" ref="B11:B58" si="0">+B10+1</f>
        <v>3</v>
      </c>
      <c r="C11" s="24" t="s">
        <v>32</v>
      </c>
      <c r="D11" s="25"/>
      <c r="E11" s="26"/>
      <c r="F11" s="17"/>
    </row>
    <row r="12" spans="2:8" x14ac:dyDescent="0.3">
      <c r="B12" s="13">
        <f t="shared" si="0"/>
        <v>4</v>
      </c>
      <c r="C12" s="24" t="s">
        <v>33</v>
      </c>
      <c r="D12" s="25"/>
      <c r="E12" s="26"/>
      <c r="F12" s="17"/>
    </row>
    <row r="13" spans="2:8" x14ac:dyDescent="0.3">
      <c r="B13" s="13">
        <f t="shared" si="0"/>
        <v>5</v>
      </c>
      <c r="C13" s="24" t="s">
        <v>34</v>
      </c>
      <c r="D13" s="25"/>
      <c r="E13" s="26"/>
      <c r="F13" s="17"/>
    </row>
    <row r="14" spans="2:8" x14ac:dyDescent="0.3">
      <c r="B14" s="13">
        <f t="shared" si="0"/>
        <v>6</v>
      </c>
      <c r="C14" s="24" t="s">
        <v>35</v>
      </c>
      <c r="D14" s="25"/>
      <c r="E14" s="26"/>
      <c r="F14" s="17"/>
    </row>
    <row r="15" spans="2:8" x14ac:dyDescent="0.3">
      <c r="B15" s="13">
        <f t="shared" si="0"/>
        <v>7</v>
      </c>
      <c r="C15" s="24" t="s">
        <v>36</v>
      </c>
      <c r="D15" s="25"/>
      <c r="E15" s="26"/>
      <c r="F15" s="17"/>
    </row>
    <row r="16" spans="2:8" ht="15" customHeight="1" x14ac:dyDescent="0.3">
      <c r="B16" s="13">
        <f t="shared" si="0"/>
        <v>8</v>
      </c>
      <c r="C16" s="24" t="s">
        <v>37</v>
      </c>
      <c r="D16" s="25"/>
      <c r="E16" s="26"/>
      <c r="F16" s="17"/>
    </row>
    <row r="17" spans="2:6" ht="15" customHeight="1" x14ac:dyDescent="0.3">
      <c r="B17" s="13">
        <f t="shared" si="0"/>
        <v>9</v>
      </c>
      <c r="C17" s="24" t="s">
        <v>38</v>
      </c>
      <c r="D17" s="25"/>
      <c r="E17" s="26"/>
      <c r="F17" s="17"/>
    </row>
    <row r="18" spans="2:6" x14ac:dyDescent="0.3">
      <c r="B18" s="13">
        <f t="shared" si="0"/>
        <v>10</v>
      </c>
      <c r="C18" s="24" t="s">
        <v>39</v>
      </c>
      <c r="D18" s="25"/>
      <c r="E18" s="26"/>
      <c r="F18" s="17"/>
    </row>
    <row r="19" spans="2:6" x14ac:dyDescent="0.3">
      <c r="B19" s="13">
        <f t="shared" si="0"/>
        <v>11</v>
      </c>
      <c r="C19" s="24" t="s">
        <v>69</v>
      </c>
      <c r="D19" s="25"/>
      <c r="E19" s="26"/>
      <c r="F19" s="17"/>
    </row>
    <row r="20" spans="2:6" x14ac:dyDescent="0.3">
      <c r="B20" s="13">
        <f t="shared" si="0"/>
        <v>12</v>
      </c>
      <c r="C20" s="24" t="s">
        <v>70</v>
      </c>
      <c r="D20" s="25"/>
      <c r="E20" s="26"/>
      <c r="F20" s="17"/>
    </row>
    <row r="21" spans="2:6" x14ac:dyDescent="0.3">
      <c r="B21" s="13">
        <f t="shared" si="0"/>
        <v>13</v>
      </c>
      <c r="C21" s="24" t="s">
        <v>40</v>
      </c>
      <c r="D21" s="25"/>
      <c r="E21" s="26"/>
      <c r="F21" s="17"/>
    </row>
    <row r="22" spans="2:6" x14ac:dyDescent="0.3">
      <c r="B22" s="13">
        <f t="shared" si="0"/>
        <v>14</v>
      </c>
      <c r="C22" s="24" t="s">
        <v>41</v>
      </c>
      <c r="D22" s="25"/>
      <c r="E22" s="26"/>
      <c r="F22" s="17"/>
    </row>
    <row r="23" spans="2:6" x14ac:dyDescent="0.3">
      <c r="B23" s="13">
        <f t="shared" si="0"/>
        <v>15</v>
      </c>
      <c r="C23" s="24" t="s">
        <v>42</v>
      </c>
      <c r="D23" s="25"/>
      <c r="E23" s="26"/>
      <c r="F23" s="17"/>
    </row>
    <row r="24" spans="2:6" x14ac:dyDescent="0.3">
      <c r="B24" s="13">
        <f t="shared" si="0"/>
        <v>16</v>
      </c>
      <c r="C24" s="24" t="s">
        <v>43</v>
      </c>
      <c r="D24" s="25"/>
      <c r="E24" s="26"/>
      <c r="F24" s="17"/>
    </row>
    <row r="25" spans="2:6" x14ac:dyDescent="0.3">
      <c r="B25" s="13">
        <f t="shared" si="0"/>
        <v>17</v>
      </c>
      <c r="C25" s="24" t="s">
        <v>44</v>
      </c>
      <c r="D25" s="25"/>
      <c r="E25" s="26"/>
      <c r="F25" s="17"/>
    </row>
    <row r="26" spans="2:6" x14ac:dyDescent="0.3">
      <c r="B26" s="13">
        <f t="shared" si="0"/>
        <v>18</v>
      </c>
      <c r="C26" s="24" t="s">
        <v>45</v>
      </c>
      <c r="D26" s="25"/>
      <c r="E26" s="26"/>
      <c r="F26" s="17"/>
    </row>
    <row r="27" spans="2:6" x14ac:dyDescent="0.3">
      <c r="B27" s="13">
        <f t="shared" si="0"/>
        <v>19</v>
      </c>
      <c r="C27" s="24" t="s">
        <v>46</v>
      </c>
      <c r="D27" s="25"/>
      <c r="E27" s="26"/>
      <c r="F27" s="17"/>
    </row>
    <row r="28" spans="2:6" x14ac:dyDescent="0.3">
      <c r="B28" s="13">
        <f t="shared" si="0"/>
        <v>20</v>
      </c>
      <c r="C28" s="24" t="s">
        <v>47</v>
      </c>
      <c r="D28" s="25"/>
      <c r="E28" s="26"/>
      <c r="F28" s="17"/>
    </row>
    <row r="29" spans="2:6" x14ac:dyDescent="0.3">
      <c r="B29" s="13">
        <f t="shared" si="0"/>
        <v>21</v>
      </c>
      <c r="C29" s="24" t="s">
        <v>48</v>
      </c>
      <c r="D29" s="25"/>
      <c r="E29" s="26"/>
      <c r="F29" s="17"/>
    </row>
    <row r="30" spans="2:6" x14ac:dyDescent="0.3">
      <c r="B30" s="13">
        <f t="shared" si="0"/>
        <v>22</v>
      </c>
      <c r="C30" s="24" t="s">
        <v>63</v>
      </c>
      <c r="D30" s="25"/>
      <c r="E30" s="26"/>
      <c r="F30" s="17"/>
    </row>
    <row r="31" spans="2:6" x14ac:dyDescent="0.3">
      <c r="B31" s="13">
        <f t="shared" si="0"/>
        <v>23</v>
      </c>
      <c r="C31" s="24" t="s">
        <v>49</v>
      </c>
      <c r="D31" s="25"/>
      <c r="E31" s="26"/>
      <c r="F31" s="17"/>
    </row>
    <row r="32" spans="2:6" x14ac:dyDescent="0.3">
      <c r="B32" s="13">
        <f t="shared" si="0"/>
        <v>24</v>
      </c>
      <c r="C32" s="24" t="s">
        <v>50</v>
      </c>
      <c r="D32" s="25"/>
      <c r="E32" s="26"/>
      <c r="F32" s="17"/>
    </row>
    <row r="33" spans="2:6" x14ac:dyDescent="0.3">
      <c r="B33" s="13">
        <f t="shared" si="0"/>
        <v>25</v>
      </c>
      <c r="C33" s="24" t="s">
        <v>51</v>
      </c>
      <c r="D33" s="25"/>
      <c r="E33" s="26"/>
      <c r="F33" s="17"/>
    </row>
    <row r="34" spans="2:6" x14ac:dyDescent="0.3">
      <c r="B34" s="13">
        <f t="shared" si="0"/>
        <v>26</v>
      </c>
      <c r="C34" s="24" t="s">
        <v>52</v>
      </c>
      <c r="D34" s="25"/>
      <c r="E34" s="26"/>
      <c r="F34" s="17"/>
    </row>
    <row r="35" spans="2:6" x14ac:dyDescent="0.3">
      <c r="B35" s="13">
        <f t="shared" si="0"/>
        <v>27</v>
      </c>
      <c r="C35" s="24" t="s">
        <v>53</v>
      </c>
      <c r="D35" s="25"/>
      <c r="E35" s="26"/>
      <c r="F35" s="17"/>
    </row>
    <row r="36" spans="2:6" x14ac:dyDescent="0.3">
      <c r="B36" s="13">
        <f t="shared" si="0"/>
        <v>28</v>
      </c>
      <c r="C36" s="24" t="s">
        <v>54</v>
      </c>
      <c r="D36" s="25"/>
      <c r="E36" s="26"/>
      <c r="F36" s="17"/>
    </row>
    <row r="37" spans="2:6" x14ac:dyDescent="0.3">
      <c r="B37" s="13">
        <f t="shared" si="0"/>
        <v>29</v>
      </c>
      <c r="C37" s="24" t="s">
        <v>55</v>
      </c>
      <c r="D37" s="25"/>
      <c r="E37" s="26"/>
      <c r="F37" s="17"/>
    </row>
    <row r="38" spans="2:6" x14ac:dyDescent="0.3">
      <c r="B38" s="13">
        <f t="shared" si="0"/>
        <v>30</v>
      </c>
      <c r="C38" s="24" t="s">
        <v>62</v>
      </c>
      <c r="D38" s="25"/>
      <c r="E38" s="26"/>
      <c r="F38" s="17"/>
    </row>
    <row r="39" spans="2:6" x14ac:dyDescent="0.3">
      <c r="B39" s="13">
        <f t="shared" si="0"/>
        <v>31</v>
      </c>
      <c r="C39" s="24" t="s">
        <v>56</v>
      </c>
      <c r="D39" s="25"/>
      <c r="E39" s="26"/>
      <c r="F39" s="17"/>
    </row>
    <row r="40" spans="2:6" x14ac:dyDescent="0.3">
      <c r="B40" s="13">
        <f t="shared" si="0"/>
        <v>32</v>
      </c>
      <c r="C40" s="24" t="s">
        <v>57</v>
      </c>
      <c r="D40" s="25"/>
      <c r="E40" s="26"/>
      <c r="F40" s="17"/>
    </row>
    <row r="41" spans="2:6" x14ac:dyDescent="0.3">
      <c r="B41" s="13">
        <f t="shared" si="0"/>
        <v>33</v>
      </c>
      <c r="C41" s="24" t="s">
        <v>0</v>
      </c>
      <c r="D41" s="25"/>
      <c r="E41" s="26"/>
      <c r="F41" s="17"/>
    </row>
    <row r="42" spans="2:6" x14ac:dyDescent="0.3">
      <c r="B42" s="13">
        <f t="shared" si="0"/>
        <v>34</v>
      </c>
      <c r="C42" s="24" t="s">
        <v>61</v>
      </c>
      <c r="D42" s="25"/>
      <c r="E42" s="26"/>
      <c r="F42" s="17"/>
    </row>
    <row r="43" spans="2:6" x14ac:dyDescent="0.3">
      <c r="B43" s="13">
        <f t="shared" si="0"/>
        <v>35</v>
      </c>
      <c r="C43" s="24" t="s">
        <v>1</v>
      </c>
      <c r="D43" s="25"/>
      <c r="E43" s="26"/>
      <c r="F43" s="17"/>
    </row>
    <row r="44" spans="2:6" x14ac:dyDescent="0.3">
      <c r="B44" s="13">
        <f t="shared" si="0"/>
        <v>36</v>
      </c>
      <c r="C44" s="24" t="s">
        <v>2</v>
      </c>
      <c r="D44" s="25"/>
      <c r="E44" s="26"/>
      <c r="F44" s="17"/>
    </row>
    <row r="45" spans="2:6" x14ac:dyDescent="0.3">
      <c r="B45" s="13">
        <f t="shared" si="0"/>
        <v>37</v>
      </c>
      <c r="C45" s="24" t="s">
        <v>3</v>
      </c>
      <c r="D45" s="25"/>
      <c r="E45" s="26"/>
      <c r="F45" s="17"/>
    </row>
    <row r="46" spans="2:6" x14ac:dyDescent="0.3">
      <c r="B46" s="13">
        <f t="shared" si="0"/>
        <v>38</v>
      </c>
      <c r="C46" s="24" t="s">
        <v>4</v>
      </c>
      <c r="D46" s="25"/>
      <c r="E46" s="26"/>
      <c r="F46" s="17"/>
    </row>
    <row r="47" spans="2:6" x14ac:dyDescent="0.3">
      <c r="B47" s="13">
        <f t="shared" si="0"/>
        <v>39</v>
      </c>
      <c r="C47" s="24" t="s">
        <v>5</v>
      </c>
      <c r="D47" s="25"/>
      <c r="E47" s="26"/>
      <c r="F47" s="17"/>
    </row>
    <row r="48" spans="2:6" x14ac:dyDescent="0.3">
      <c r="B48" s="13">
        <f t="shared" si="0"/>
        <v>40</v>
      </c>
      <c r="C48" s="24" t="s">
        <v>6</v>
      </c>
      <c r="D48" s="25"/>
      <c r="E48" s="26"/>
      <c r="F48" s="17"/>
    </row>
    <row r="49" spans="2:6" x14ac:dyDescent="0.3">
      <c r="B49" s="13">
        <f t="shared" si="0"/>
        <v>41</v>
      </c>
      <c r="C49" s="24" t="s">
        <v>60</v>
      </c>
      <c r="D49" s="25"/>
      <c r="E49" s="26"/>
      <c r="F49" s="17"/>
    </row>
    <row r="50" spans="2:6" x14ac:dyDescent="0.3">
      <c r="B50" s="13">
        <f t="shared" si="0"/>
        <v>42</v>
      </c>
      <c r="C50" s="24" t="s">
        <v>7</v>
      </c>
      <c r="D50" s="25"/>
      <c r="E50" s="26"/>
      <c r="F50" s="17"/>
    </row>
    <row r="51" spans="2:6" x14ac:dyDescent="0.3">
      <c r="B51" s="13">
        <f t="shared" si="0"/>
        <v>43</v>
      </c>
      <c r="C51" s="24" t="s">
        <v>8</v>
      </c>
      <c r="D51" s="25"/>
      <c r="E51" s="26"/>
      <c r="F51" s="17"/>
    </row>
    <row r="52" spans="2:6" x14ac:dyDescent="0.3">
      <c r="B52" s="13">
        <f t="shared" si="0"/>
        <v>44</v>
      </c>
      <c r="C52" s="24" t="s">
        <v>9</v>
      </c>
      <c r="D52" s="25"/>
      <c r="E52" s="26"/>
      <c r="F52" s="17"/>
    </row>
    <row r="53" spans="2:6" x14ac:dyDescent="0.3">
      <c r="B53" s="13">
        <f>+B52+1</f>
        <v>45</v>
      </c>
      <c r="C53" s="24" t="s">
        <v>10</v>
      </c>
      <c r="D53" s="25"/>
      <c r="E53" s="26"/>
      <c r="F53" s="17"/>
    </row>
    <row r="54" spans="2:6" x14ac:dyDescent="0.3">
      <c r="B54" s="13">
        <f t="shared" si="0"/>
        <v>46</v>
      </c>
      <c r="C54" s="24" t="s">
        <v>11</v>
      </c>
      <c r="D54" s="25"/>
      <c r="E54" s="26"/>
      <c r="F54" s="17"/>
    </row>
    <row r="55" spans="2:6" x14ac:dyDescent="0.3">
      <c r="B55" s="13">
        <f t="shared" si="0"/>
        <v>47</v>
      </c>
      <c r="C55" s="24" t="s">
        <v>12</v>
      </c>
      <c r="D55" s="25"/>
      <c r="E55" s="26"/>
      <c r="F55" s="17"/>
    </row>
    <row r="56" spans="2:6" ht="31.05" customHeight="1" x14ac:dyDescent="0.3">
      <c r="B56" s="14">
        <f>+B55+1</f>
        <v>48</v>
      </c>
      <c r="C56" s="34" t="s">
        <v>13</v>
      </c>
      <c r="D56" s="35"/>
      <c r="E56" s="36"/>
      <c r="F56" s="18"/>
    </row>
    <row r="57" spans="2:6" ht="15" customHeight="1" x14ac:dyDescent="0.3">
      <c r="B57" s="13">
        <f t="shared" si="0"/>
        <v>49</v>
      </c>
      <c r="C57" s="24" t="s">
        <v>14</v>
      </c>
      <c r="D57" s="25"/>
      <c r="E57" s="26"/>
      <c r="F57" s="17"/>
    </row>
    <row r="58" spans="2:6" ht="31.05" customHeight="1" thickBot="1" x14ac:dyDescent="0.35">
      <c r="B58" s="15">
        <f t="shared" si="0"/>
        <v>50</v>
      </c>
      <c r="C58" s="37" t="s">
        <v>68</v>
      </c>
      <c r="D58" s="38"/>
      <c r="E58" s="39"/>
      <c r="F58" s="19"/>
    </row>
  </sheetData>
  <mergeCells count="57">
    <mergeCell ref="B2:F3"/>
    <mergeCell ref="C55:E55"/>
    <mergeCell ref="C56:E56"/>
    <mergeCell ref="C57:E57"/>
    <mergeCell ref="C58:E58"/>
    <mergeCell ref="B6:F6"/>
    <mergeCell ref="B8:D8"/>
    <mergeCell ref="B4:C5"/>
    <mergeCell ref="E4:F5"/>
    <mergeCell ref="C49:E49"/>
    <mergeCell ref="C50:E50"/>
    <mergeCell ref="C51:E51"/>
    <mergeCell ref="C52:E52"/>
    <mergeCell ref="C53:E53"/>
    <mergeCell ref="C54:E54"/>
    <mergeCell ref="C43:E43"/>
    <mergeCell ref="C44:E44"/>
    <mergeCell ref="C45:E45"/>
    <mergeCell ref="C46:E46"/>
    <mergeCell ref="C47:E47"/>
    <mergeCell ref="C48:E48"/>
    <mergeCell ref="C42:E42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30:E30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18:E18"/>
    <mergeCell ref="B7:F7"/>
    <mergeCell ref="D4:D5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honeticPr fontId="2" type="noConversion"/>
  <pageMargins left="0.75000000000000011" right="0.75000000000000011" top="1" bottom="1" header="0.5" footer="0.5"/>
  <pageSetup paperSize="9" scale="80" fitToHeight="2" orientation="portrait" horizontalDpi="4294967292" verticalDpi="4294967292"/>
  <headerFooter alignWithMargins="0">
    <oddFooter>&amp;L&amp;"Calibri,Normal"&amp;K000000© Coaching Ways&amp;R&amp;"Calibri,Normal"&amp;K000000&amp;F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xWindow="636" yWindow="391" count="1">
        <x14:dataValidation type="list" allowBlank="1" showInputMessage="1" showErrorMessage="1" promptTitle="Signification " prompt="&quot;0&quot;  -&gt; Ce n'est pas moi_x000a_&quot;1&quot;  -&gt; C'est peut-être moi_x000a_&quot;2&quot;  -&gt; C'est quelques fois moi_x000a_&quot;3&quot;  -&gt; C'est souvent moi_x000a_&quot;4&quot;  -&gt; C'est tout à fait moi" xr:uid="{00000000-0002-0000-0000-000000000000}">
          <x14:formula1>
            <xm:f>Tableau!$C$3:$C$7</xm:f>
          </x14:formula1>
          <xm:sqref>F9:F58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/>
  <dimension ref="B8:C13"/>
  <sheetViews>
    <sheetView workbookViewId="0">
      <selection activeCell="D20" sqref="D20"/>
    </sheetView>
  </sheetViews>
  <sheetFormatPr baseColWidth="10" defaultRowHeight="15.6" x14ac:dyDescent="0.3"/>
  <cols>
    <col min="1" max="1" width="5" customWidth="1"/>
    <col min="2" max="2" width="16.796875" customWidth="1"/>
    <col min="3" max="3" width="10.69921875" customWidth="1"/>
  </cols>
  <sheetData>
    <row r="8" spans="2:3" x14ac:dyDescent="0.3">
      <c r="B8" s="9" t="s">
        <v>22</v>
      </c>
      <c r="C8" s="10" t="s">
        <v>23</v>
      </c>
    </row>
    <row r="9" spans="2:3" x14ac:dyDescent="0.3">
      <c r="B9" s="4" t="s">
        <v>16</v>
      </c>
      <c r="C9" s="5">
        <f t="array" ref="C9">+SUM(SUMIF(Questionnaire!B9:B58,Tableau!F3:F12,Questionnaire!F9:F58))</f>
        <v>0</v>
      </c>
    </row>
    <row r="10" spans="2:3" x14ac:dyDescent="0.3">
      <c r="B10" s="6" t="s">
        <v>19</v>
      </c>
      <c r="C10" s="5">
        <f t="array" ref="C10">SUM(SUMIF(Questionnaire!B9:B58,Tableau!G3:G12,Questionnaire!F9:F58))</f>
        <v>0</v>
      </c>
    </row>
    <row r="11" spans="2:3" x14ac:dyDescent="0.3">
      <c r="B11" s="4" t="s">
        <v>17</v>
      </c>
      <c r="C11" s="5">
        <f t="array" ref="C11">SUM(SUMIF(Questionnaire!B9:B58,Tableau!H3:H12,Questionnaire!F9:F58))</f>
        <v>0</v>
      </c>
    </row>
    <row r="12" spans="2:3" x14ac:dyDescent="0.3">
      <c r="B12" s="4" t="s">
        <v>18</v>
      </c>
      <c r="C12" s="5">
        <f t="array" ref="C12">SUM(SUMIF(Questionnaire!B9:B58,Tableau!I3:I12,Questionnaire!F9:F58))</f>
        <v>0</v>
      </c>
    </row>
    <row r="13" spans="2:3" x14ac:dyDescent="0.3">
      <c r="B13" s="7" t="s">
        <v>15</v>
      </c>
      <c r="C13" s="8">
        <f t="array" ref="C13">SUM(SUMIF(Questionnaire!B9:B58,Tableau!E3:E12,Questionnaire!F9:F58))</f>
        <v>0</v>
      </c>
    </row>
  </sheetData>
  <sheetProtection sheet="1" objects="1" scenarios="1"/>
  <phoneticPr fontId="1" type="noConversion"/>
  <pageMargins left="0" right="0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/>
  <dimension ref="B2:I14"/>
  <sheetViews>
    <sheetView workbookViewId="0">
      <selection activeCell="B14" sqref="B14"/>
    </sheetView>
  </sheetViews>
  <sheetFormatPr baseColWidth="10" defaultRowHeight="15.6" x14ac:dyDescent="0.3"/>
  <cols>
    <col min="1" max="1" width="2.796875" customWidth="1"/>
    <col min="2" max="2" width="20" bestFit="1" customWidth="1"/>
    <col min="3" max="3" width="4.19921875" style="1" customWidth="1"/>
    <col min="4" max="4" width="3.5" customWidth="1"/>
    <col min="5" max="9" width="14" style="1" customWidth="1"/>
  </cols>
  <sheetData>
    <row r="2" spans="2:9" ht="16.05" customHeight="1" x14ac:dyDescent="0.3">
      <c r="E2" s="1" t="s">
        <v>15</v>
      </c>
      <c r="F2" s="1" t="s">
        <v>16</v>
      </c>
      <c r="G2" s="3" t="s">
        <v>19</v>
      </c>
      <c r="H2" s="1" t="s">
        <v>17</v>
      </c>
      <c r="I2" s="1" t="s">
        <v>18</v>
      </c>
    </row>
    <row r="3" spans="2:9" x14ac:dyDescent="0.3">
      <c r="B3" t="s">
        <v>25</v>
      </c>
      <c r="C3" s="1">
        <v>0</v>
      </c>
      <c r="E3" s="1">
        <v>3</v>
      </c>
      <c r="F3" s="2">
        <v>5</v>
      </c>
      <c r="G3" s="1">
        <v>2</v>
      </c>
      <c r="H3" s="1">
        <v>1</v>
      </c>
      <c r="I3" s="1">
        <v>4</v>
      </c>
    </row>
    <row r="4" spans="2:9" x14ac:dyDescent="0.3">
      <c r="B4" t="s">
        <v>26</v>
      </c>
      <c r="C4" s="1">
        <v>1</v>
      </c>
      <c r="E4" s="1">
        <f>+E3+5</f>
        <v>8</v>
      </c>
      <c r="F4" s="1">
        <f>+F3+5</f>
        <v>10</v>
      </c>
      <c r="G4" s="1">
        <f>+G3+5</f>
        <v>7</v>
      </c>
      <c r="H4" s="1">
        <f>+H3+5</f>
        <v>6</v>
      </c>
      <c r="I4" s="1">
        <f>+I3+5</f>
        <v>9</v>
      </c>
    </row>
    <row r="5" spans="2:9" x14ac:dyDescent="0.3">
      <c r="B5" t="s">
        <v>27</v>
      </c>
      <c r="C5" s="1">
        <v>2</v>
      </c>
      <c r="E5" s="1">
        <v>13</v>
      </c>
      <c r="F5" s="1">
        <f t="shared" ref="F5:F12" si="0">+F4+5</f>
        <v>15</v>
      </c>
      <c r="G5" s="1">
        <f t="shared" ref="G5:G12" si="1">+G4+5</f>
        <v>12</v>
      </c>
      <c r="H5" s="1">
        <f t="shared" ref="H5:H12" si="2">+H4+5</f>
        <v>11</v>
      </c>
      <c r="I5" s="1">
        <f t="shared" ref="I5:I12" si="3">+I4+5</f>
        <v>14</v>
      </c>
    </row>
    <row r="6" spans="2:9" x14ac:dyDescent="0.3">
      <c r="B6" t="s">
        <v>28</v>
      </c>
      <c r="C6" s="1">
        <v>3</v>
      </c>
      <c r="E6" s="1">
        <v>18</v>
      </c>
      <c r="F6" s="1">
        <f t="shared" si="0"/>
        <v>20</v>
      </c>
      <c r="G6" s="1">
        <f t="shared" si="1"/>
        <v>17</v>
      </c>
      <c r="H6" s="1">
        <f t="shared" si="2"/>
        <v>16</v>
      </c>
      <c r="I6" s="1">
        <f t="shared" si="3"/>
        <v>19</v>
      </c>
    </row>
    <row r="7" spans="2:9" x14ac:dyDescent="0.3">
      <c r="B7" t="s">
        <v>29</v>
      </c>
      <c r="C7" s="1">
        <v>4</v>
      </c>
      <c r="E7" s="1">
        <v>23</v>
      </c>
      <c r="F7" s="1">
        <f t="shared" si="0"/>
        <v>25</v>
      </c>
      <c r="G7" s="1">
        <f t="shared" si="1"/>
        <v>22</v>
      </c>
      <c r="H7" s="1">
        <f t="shared" si="2"/>
        <v>21</v>
      </c>
      <c r="I7" s="1">
        <f t="shared" si="3"/>
        <v>24</v>
      </c>
    </row>
    <row r="8" spans="2:9" x14ac:dyDescent="0.3">
      <c r="E8" s="1">
        <v>28</v>
      </c>
      <c r="F8" s="1">
        <f t="shared" si="0"/>
        <v>30</v>
      </c>
      <c r="G8" s="1">
        <f t="shared" si="1"/>
        <v>27</v>
      </c>
      <c r="H8" s="1">
        <f t="shared" si="2"/>
        <v>26</v>
      </c>
      <c r="I8" s="1">
        <f t="shared" si="3"/>
        <v>29</v>
      </c>
    </row>
    <row r="9" spans="2:9" x14ac:dyDescent="0.3">
      <c r="E9" s="1">
        <v>33</v>
      </c>
      <c r="F9" s="1">
        <f t="shared" si="0"/>
        <v>35</v>
      </c>
      <c r="G9" s="1">
        <f t="shared" si="1"/>
        <v>32</v>
      </c>
      <c r="H9" s="1">
        <f t="shared" si="2"/>
        <v>31</v>
      </c>
      <c r="I9" s="1">
        <f t="shared" si="3"/>
        <v>34</v>
      </c>
    </row>
    <row r="10" spans="2:9" x14ac:dyDescent="0.3">
      <c r="E10" s="1">
        <v>38</v>
      </c>
      <c r="F10" s="1">
        <f t="shared" si="0"/>
        <v>40</v>
      </c>
      <c r="G10" s="1">
        <f t="shared" si="1"/>
        <v>37</v>
      </c>
      <c r="H10" s="1">
        <f t="shared" si="2"/>
        <v>36</v>
      </c>
      <c r="I10" s="1">
        <f t="shared" si="3"/>
        <v>39</v>
      </c>
    </row>
    <row r="11" spans="2:9" x14ac:dyDescent="0.3">
      <c r="E11" s="1">
        <v>43</v>
      </c>
      <c r="F11" s="1">
        <f t="shared" si="0"/>
        <v>45</v>
      </c>
      <c r="G11" s="1">
        <f t="shared" si="1"/>
        <v>42</v>
      </c>
      <c r="H11" s="1">
        <f t="shared" si="2"/>
        <v>41</v>
      </c>
      <c r="I11" s="1">
        <f t="shared" si="3"/>
        <v>44</v>
      </c>
    </row>
    <row r="12" spans="2:9" x14ac:dyDescent="0.3">
      <c r="E12" s="1">
        <v>48</v>
      </c>
      <c r="F12" s="1">
        <f t="shared" si="0"/>
        <v>50</v>
      </c>
      <c r="G12" s="1">
        <f t="shared" si="1"/>
        <v>47</v>
      </c>
      <c r="H12" s="1">
        <f t="shared" si="2"/>
        <v>46</v>
      </c>
      <c r="I12" s="1">
        <f t="shared" si="3"/>
        <v>49</v>
      </c>
    </row>
    <row r="14" spans="2:9" x14ac:dyDescent="0.3">
      <c r="B14" t="s">
        <v>58</v>
      </c>
    </row>
  </sheetData>
  <sheetProtection sheet="1" objects="1" scenarios="1"/>
  <phoneticPr fontId="2" type="noConversion"/>
  <pageMargins left="0" right="0" top="1" bottom="1" header="0.5" footer="0.5"/>
  <pageSetup paperSize="9"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6"/>
  <sheetViews>
    <sheetView tabSelected="1" topLeftCell="B1" workbookViewId="0">
      <selection activeCell="K14" sqref="K14"/>
    </sheetView>
  </sheetViews>
  <sheetFormatPr baseColWidth="10" defaultRowHeight="15.6" x14ac:dyDescent="0.3"/>
  <cols>
    <col min="1" max="1" width="3.5" customWidth="1"/>
    <col min="2" max="2" width="5.5" customWidth="1"/>
    <col min="3" max="3" width="8.5" customWidth="1"/>
    <col min="4" max="4" width="57.19921875" customWidth="1"/>
  </cols>
  <sheetData>
    <row r="2" spans="1:6" x14ac:dyDescent="0.3">
      <c r="A2" s="1"/>
      <c r="B2" s="12"/>
      <c r="C2" s="12"/>
      <c r="F2" s="1"/>
    </row>
    <row r="3" spans="1:6" x14ac:dyDescent="0.3">
      <c r="A3" s="1"/>
      <c r="B3" s="52" t="s">
        <v>67</v>
      </c>
      <c r="C3" s="53"/>
      <c r="D3" s="53"/>
      <c r="E3" s="53"/>
      <c r="F3" s="54"/>
    </row>
    <row r="4" spans="1:6" x14ac:dyDescent="0.3">
      <c r="A4" s="1"/>
      <c r="B4" s="55"/>
      <c r="C4" s="56"/>
      <c r="D4" s="56"/>
      <c r="E4" s="56"/>
      <c r="F4" s="57"/>
    </row>
    <row r="5" spans="1:6" x14ac:dyDescent="0.3">
      <c r="A5" s="1"/>
      <c r="B5" s="45" t="s">
        <v>59</v>
      </c>
      <c r="C5" s="46"/>
      <c r="D5" s="30" t="str">
        <f>+Questionnaire!D4</f>
        <v>x</v>
      </c>
      <c r="E5" s="49">
        <f ca="1">+TODAY()</f>
        <v>45359</v>
      </c>
      <c r="F5" s="50"/>
    </row>
    <row r="6" spans="1:6" x14ac:dyDescent="0.3">
      <c r="A6" s="1"/>
      <c r="B6" s="47"/>
      <c r="C6" s="48"/>
      <c r="D6" s="31"/>
      <c r="E6" s="47"/>
      <c r="F6" s="51"/>
    </row>
  </sheetData>
  <mergeCells count="4">
    <mergeCell ref="B3:F4"/>
    <mergeCell ref="B5:C6"/>
    <mergeCell ref="D5:D6"/>
    <mergeCell ref="E5:F6"/>
  </mergeCells>
  <phoneticPr fontId="4" type="noConversion"/>
  <pageMargins left="0.75000000000000011" right="0.75000000000000011" top="1" bottom="1" header="0.5" footer="0.5"/>
  <pageSetup paperSize="9" orientation="landscape" horizontalDpi="4294967292" verticalDpi="4294967292"/>
  <headerFooter alignWithMargins="0">
    <oddFooter>&amp;L&amp;"Calibri,Normal"&amp;K000000© Coaching Ways&amp;R&amp;"Calibri,Normal"&amp;K000000&amp;F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Questionnaire</vt:lpstr>
      <vt:lpstr>Résultats</vt:lpstr>
      <vt:lpstr>Tableau</vt:lpstr>
      <vt:lpstr>Histogramme</vt:lpstr>
      <vt:lpstr>Histogramme!Zone_d_impression</vt:lpstr>
      <vt:lpstr>Questionnaire!Zone_d_impression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Sybertz</dc:creator>
  <cp:lastModifiedBy>Anouk TRIBOUT</cp:lastModifiedBy>
  <cp:lastPrinted>2014-02-09T12:00:48Z</cp:lastPrinted>
  <dcterms:created xsi:type="dcterms:W3CDTF">2013-12-03T09:58:40Z</dcterms:created>
  <dcterms:modified xsi:type="dcterms:W3CDTF">2024-03-08T09:19:55Z</dcterms:modified>
</cp:coreProperties>
</file>